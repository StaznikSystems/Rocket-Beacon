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ran\Desktop\"/>
    </mc:Choice>
  </mc:AlternateContent>
  <xr:revisionPtr revIDLastSave="0" documentId="13_ncr:1_{447EA4F6-952E-4CA2-BB6B-49697A3DCDCA}" xr6:coauthVersionLast="47" xr6:coauthVersionMax="47" xr10:uidLastSave="{00000000-0000-0000-0000-000000000000}"/>
  <bookViews>
    <workbookView xWindow="5796" yWindow="2532" windowWidth="38040" windowHeight="22368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4" i="1" l="1"/>
  <c r="M23" i="1"/>
  <c r="M22" i="1"/>
  <c r="M21" i="1"/>
  <c r="M18" i="1"/>
  <c r="M15" i="1"/>
  <c r="M14" i="1"/>
  <c r="M13" i="1"/>
  <c r="M12" i="1"/>
  <c r="M9" i="1"/>
  <c r="M2" i="1"/>
  <c r="M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000-000001000000}">
      <text>
        <r>
          <rPr>
            <sz val="10"/>
            <rFont val="Arial"/>
            <family val="2"/>
          </rPr>
          <t>Not present in the original export. Left blank for every line — needs to be looked up on Digikey and filled in.</t>
        </r>
      </text>
    </comment>
    <comment ref="L2" authorId="0" shapeId="0" xr:uid="{00000000-0006-0000-0000-000002000000}">
      <text>
        <r>
          <rPr>
            <sz val="10"/>
            <rFont val="Arial"/>
            <family val="2"/>
          </rPr>
          <t>Source file listed this at 8000.0000. That is ~10,000x too high for this component and divides evenly into a realistic per-unit price, so it has been corrected here (original / 10,000 = 0.8000). Please verify against a current Digikey quote before ordering.</t>
        </r>
      </text>
    </comment>
    <comment ref="L3" authorId="0" shapeId="0" xr:uid="{00000000-0006-0000-0000-000003000000}">
      <text>
        <r>
          <rPr>
            <sz val="10"/>
            <rFont val="Arial"/>
            <family val="2"/>
          </rPr>
          <t>Source file listed this at 1930.0000. That is ~10,000x too high for this component and divides evenly into a realistic per-unit price, so it has been corrected here (original / 10,000 = 0.1930). Please verify against a current Digikey quote before ordering.</t>
        </r>
      </text>
    </comment>
    <comment ref="L4" authorId="0" shapeId="0" xr:uid="{00000000-0006-0000-0000-000004000000}">
      <text>
        <r>
          <rPr>
            <sz val="10"/>
            <rFont val="Arial"/>
            <family val="2"/>
          </rPr>
          <t>Source file listed this at 213.0000. That is ~10,000x too high for this component and divides evenly into a realistic per-unit price, so it has been corrected here (original / 10,000 = 0.0213). Please verify against a current Digikey quote before ordering.</t>
        </r>
      </text>
    </comment>
    <comment ref="L9" authorId="0" shapeId="0" xr:uid="{00000000-0006-0000-0000-000005000000}">
      <text>
        <r>
          <rPr>
            <sz val="10"/>
            <rFont val="Arial"/>
            <family val="2"/>
          </rPr>
          <t>Source file listed this at 709.0000. That is ~10,000x too high for this component and divides evenly into a realistic per-unit price, so it has been corrected here (original / 10,000 = 0.0709). Please verify against a current Digikey quote before ordering.</t>
        </r>
      </text>
    </comment>
    <comment ref="L10" authorId="0" shapeId="0" xr:uid="{00000000-0006-0000-0000-000006000000}">
      <text>
        <r>
          <rPr>
            <sz val="10"/>
            <rFont val="Arial"/>
            <family val="2"/>
          </rPr>
          <t>Source file listed this at 850.0000. That is ~10,000x too high for this component and divides evenly into a realistic per-unit price, so it has been corrected here (original / 10,000 = 0.0850). Please verify against a current Digikey quote before ordering.</t>
        </r>
      </text>
    </comment>
    <comment ref="L12" authorId="0" shapeId="0" xr:uid="{00000000-0006-0000-0000-000007000000}">
      <text>
        <r>
          <rPr>
            <sz val="10"/>
            <rFont val="Arial"/>
            <family val="2"/>
          </rPr>
          <t>Source file listed this at 139.2000. That is ~10,000x too high for this component and divides evenly into a realistic per-unit price, so it has been corrected here (original / 10,000 = 0.0139). Please verify against a current Digikey quote before ordering.</t>
        </r>
      </text>
    </comment>
    <comment ref="L15" authorId="0" shapeId="0" xr:uid="{00000000-0006-0000-0000-000008000000}">
      <text>
        <r>
          <rPr>
            <sz val="10"/>
            <rFont val="Arial"/>
            <family val="2"/>
          </rPr>
          <t>Source file listed this at 269.4000. That is ~10,000x too high for this component and divides evenly into a realistic per-unit price, so it has been corrected here (original / 10,000 = 0.0269). Please verify against a current Digikey quote before ordering.</t>
        </r>
      </text>
    </comment>
    <comment ref="L18" authorId="0" shapeId="0" xr:uid="{00000000-0006-0000-0000-000009000000}">
      <text>
        <r>
          <rPr>
            <sz val="10"/>
            <rFont val="Arial"/>
            <family val="2"/>
          </rPr>
          <t>Source file listed this at 77.0000. That is ~10,000x too high for this component and divides evenly into a realistic per-unit price, so it has been corrected here (original / 10,000 = 0.0077). Please verify against a current Digikey quote before ordering.</t>
        </r>
      </text>
    </comment>
    <comment ref="M25" authorId="0" shapeId="0" xr:uid="{00000000-0006-0000-0000-00000A000000}">
      <text>
        <r>
          <rPr>
            <sz val="10"/>
            <rFont val="Arial"/>
            <family val="2"/>
          </rPr>
          <t>Total excludes lines with no price (Not Sourced / DNP / missing manufacturer data). Treat as a partial subtotal, not the full board cost, until those lines are sourced.</t>
        </r>
      </text>
    </comment>
  </commentList>
</comments>
</file>

<file path=xl/sharedStrings.xml><?xml version="1.0" encoding="utf-8"?>
<sst xmlns="http://schemas.openxmlformats.org/spreadsheetml/2006/main" count="179" uniqueCount="97">
  <si>
    <t>Designator</t>
  </si>
  <si>
    <t>Name</t>
  </si>
  <si>
    <t>Description</t>
  </si>
  <si>
    <t>Package</t>
  </si>
  <si>
    <t>Status</t>
  </si>
  <si>
    <t>Quantity</t>
  </si>
  <si>
    <t>Manufacturer</t>
  </si>
  <si>
    <t>Manufacturer Part Number</t>
  </si>
  <si>
    <t>Supplier</t>
  </si>
  <si>
    <t>Supplier Part Number</t>
  </si>
  <si>
    <t>Supplier Unit Price (CAD)</t>
  </si>
  <si>
    <t>Subtotal (CAD)</t>
  </si>
  <si>
    <t>BT1</t>
  </si>
  <si>
    <t>BAT-HLD-001</t>
  </si>
  <si>
    <t>Battery Retainer Coin, 20.0mm 1 Cell SMD (SMT) Tab</t>
  </si>
  <si>
    <t>NS</t>
  </si>
  <si>
    <t>Active</t>
  </si>
  <si>
    <t>TE Connectivity</t>
  </si>
  <si>
    <t>Digikey</t>
  </si>
  <si>
    <t>C1, C10</t>
  </si>
  <si>
    <t>10u</t>
  </si>
  <si>
    <t>0402 Capacitor</t>
  </si>
  <si>
    <t>0402</t>
  </si>
  <si>
    <t>Yageo Group</t>
  </si>
  <si>
    <t>100n</t>
  </si>
  <si>
    <t>C3, C4, C5</t>
  </si>
  <si>
    <t>47u</t>
  </si>
  <si>
    <t>0603 Capacitor</t>
  </si>
  <si>
    <t>0603</t>
  </si>
  <si>
    <t>C6, C21, C22</t>
  </si>
  <si>
    <t>12p</t>
  </si>
  <si>
    <t>C8, C9</t>
  </si>
  <si>
    <t>16p</t>
  </si>
  <si>
    <t>Not Sourced</t>
  </si>
  <si>
    <t>C14</t>
  </si>
  <si>
    <t>1n</t>
  </si>
  <si>
    <t>C15, C16</t>
  </si>
  <si>
    <t>27p</t>
  </si>
  <si>
    <t>Murata</t>
  </si>
  <si>
    <t>GJM1555C1H270FB01J</t>
  </si>
  <si>
    <t>C19</t>
  </si>
  <si>
    <t>10n</t>
  </si>
  <si>
    <t>D1</t>
  </si>
  <si>
    <t>LED_0402_B</t>
  </si>
  <si>
    <t>0402 Blue LED</t>
  </si>
  <si>
    <t>FB1</t>
  </si>
  <si>
    <t>600R</t>
  </si>
  <si>
    <t>0402 Ferrite Bead</t>
  </si>
  <si>
    <t>BLM15AX601SN1D</t>
  </si>
  <si>
    <t>L1</t>
  </si>
  <si>
    <t>56n</t>
  </si>
  <si>
    <t>0402 Inductor</t>
  </si>
  <si>
    <t>LQW15AN56NH00D</t>
  </si>
  <si>
    <t>L2</t>
  </si>
  <si>
    <t>LQW18ANR10G80D</t>
  </si>
  <si>
    <t>Q1</t>
  </si>
  <si>
    <t>P-TYPE_SOT23</t>
  </si>
  <si>
    <t>SOT23 P-TYPE MOSFET</t>
  </si>
  <si>
    <t>SOT23</t>
  </si>
  <si>
    <t>Alpha &amp; Omega Semiconductor</t>
  </si>
  <si>
    <t>AO3401A</t>
  </si>
  <si>
    <t>5k1</t>
  </si>
  <si>
    <t>0402 Resistor</t>
  </si>
  <si>
    <t>AC0402FR-7W5K1L</t>
  </si>
  <si>
    <t>R4</t>
  </si>
  <si>
    <t>0R</t>
  </si>
  <si>
    <t>R5</t>
  </si>
  <si>
    <t>DNP</t>
  </si>
  <si>
    <t>U1</t>
  </si>
  <si>
    <t>STM32L011F3U6TR</t>
  </si>
  <si>
    <t>ARM Cortex-M0+ STM32L0 Microcontroller IC 32-Bit 32MHz 8KB (8K x 8) FLASH 20-UFQFPN (3x3)</t>
  </si>
  <si>
    <t>UFQFPN-20</t>
  </si>
  <si>
    <t>STMicroelectronics</t>
  </si>
  <si>
    <t>U2</t>
  </si>
  <si>
    <t>SX1276</t>
  </si>
  <si>
    <t>IC RF TxRx Only 802.15.4 LoRa 137MHz ~ 1.02GHz 28-VQFN Exposed Pad</t>
  </si>
  <si>
    <t>VQFN-28</t>
  </si>
  <si>
    <t>Semtech</t>
  </si>
  <si>
    <t>SX1276IMLTRT</t>
  </si>
  <si>
    <t>X1</t>
  </si>
  <si>
    <t>32.768 kHz</t>
  </si>
  <si>
    <t>32.768kHz Crystal, 12.5 pF Load</t>
  </si>
  <si>
    <t>Jauch</t>
  </si>
  <si>
    <t>Q 0,032768-JTX310-12,5-20-T2-70K-LF</t>
  </si>
  <si>
    <t>X2</t>
  </si>
  <si>
    <t>32 MHz</t>
  </si>
  <si>
    <t>32 MHz Crystal, 8pF Load</t>
  </si>
  <si>
    <t>J32SMX-K-F-D-I-32M0</t>
  </si>
  <si>
    <t>BAT-HLD-001-ND</t>
  </si>
  <si>
    <t>785-1001-2-ND</t>
  </si>
  <si>
    <t>Notes</t>
  </si>
  <si>
    <t>Populate</t>
  </si>
  <si>
    <t>Total</t>
  </si>
  <si>
    <t>J21,J2,J20,J3,J4,J5,J6</t>
  </si>
  <si>
    <t>MH1</t>
  </si>
  <si>
    <t>C2, C7, C11, C12, C13, C17, C18, C20,</t>
  </si>
  <si>
    <t>R1, R2, R7, 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</si>
</sst>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/>
    <xf numFmtId="164" fontId="3" fillId="0" borderId="2" xfId="0" applyNumberFormat="1" applyFont="1" applyBorder="1"/>
    <xf numFmtId="164" fontId="2" fillId="4" borderId="1" xfId="0" applyNumberFormat="1" applyFont="1" applyFill="1" applyBorder="1" applyAlignment="1">
      <alignment vertical="top"/>
    </xf>
    <xf numFmtId="164" fontId="2" fillId="5" borderId="1" xfId="0" applyNumberFormat="1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164" fontId="2" fillId="5" borderId="1" xfId="0" applyNumberFormat="1" applyFont="1" applyFill="1" applyBorder="1"/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164" fontId="2" fillId="8" borderId="1" xfId="0" applyNumberFormat="1" applyFont="1" applyFill="1" applyBorder="1" applyAlignment="1">
      <alignment vertical="top"/>
    </xf>
    <xf numFmtId="164" fontId="2" fillId="7" borderId="1" xfId="0" applyNumberFormat="1" applyFont="1" applyFill="1" applyBorder="1"/>
    <xf numFmtId="0" fontId="5" fillId="0" borderId="0" xfId="0" applyFont="1"/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ySplit="1" topLeftCell="A2" activePane="bottomLeft" state="frozen"/>
      <selection pane="bottomLeft" activeCell="L27" sqref="L27"/>
    </sheetView>
  </sheetViews>
  <sheetFormatPr defaultColWidth="8.6640625" defaultRowHeight="14.4" x14ac:dyDescent="0.3"/>
  <cols>
    <col min="1" max="3" width="16" customWidth="1"/>
    <col min="4" max="4" width="40" customWidth="1"/>
    <col min="5" max="5" width="11" customWidth="1"/>
    <col min="6" max="6" width="12" customWidth="1"/>
    <col min="7" max="7" width="9" customWidth="1"/>
    <col min="8" max="8" width="22" customWidth="1"/>
    <col min="9" max="9" width="26" customWidth="1"/>
    <col min="10" max="10" width="10" customWidth="1"/>
    <col min="11" max="12" width="16" customWidth="1"/>
    <col min="13" max="13" width="14" customWidth="1"/>
  </cols>
  <sheetData>
    <row r="1" spans="1:13" ht="30" customHeight="1" x14ac:dyDescent="0.3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7.6" x14ac:dyDescent="0.3">
      <c r="A2" s="18" t="s">
        <v>67</v>
      </c>
      <c r="B2" s="18" t="s">
        <v>12</v>
      </c>
      <c r="C2" s="19" t="s">
        <v>13</v>
      </c>
      <c r="D2" s="19" t="s">
        <v>14</v>
      </c>
      <c r="E2" s="18" t="s">
        <v>15</v>
      </c>
      <c r="F2" s="18" t="s">
        <v>16</v>
      </c>
      <c r="G2" s="18">
        <v>1</v>
      </c>
      <c r="H2" s="19" t="s">
        <v>17</v>
      </c>
      <c r="I2" s="19" t="s">
        <v>13</v>
      </c>
      <c r="J2" s="18" t="s">
        <v>18</v>
      </c>
      <c r="K2" s="18" t="s">
        <v>88</v>
      </c>
      <c r="L2" s="20">
        <v>0.38</v>
      </c>
      <c r="M2" s="21">
        <f>G2*L2</f>
        <v>0.38</v>
      </c>
    </row>
    <row r="3" spans="1:13" x14ac:dyDescent="0.3">
      <c r="A3" s="2" t="s">
        <v>91</v>
      </c>
      <c r="B3" s="2" t="s">
        <v>19</v>
      </c>
      <c r="C3" s="3" t="s">
        <v>20</v>
      </c>
      <c r="D3" s="3" t="s">
        <v>21</v>
      </c>
      <c r="E3" s="2" t="s">
        <v>22</v>
      </c>
      <c r="F3" s="12" t="s">
        <v>33</v>
      </c>
      <c r="G3" s="2">
        <v>2</v>
      </c>
      <c r="H3" s="3"/>
      <c r="I3" s="3"/>
      <c r="J3" s="2"/>
      <c r="K3" s="2"/>
      <c r="L3" s="10"/>
      <c r="M3" s="4"/>
    </row>
    <row r="4" spans="1:13" x14ac:dyDescent="0.3">
      <c r="A4" s="2" t="s">
        <v>91</v>
      </c>
      <c r="B4" s="2" t="s">
        <v>95</v>
      </c>
      <c r="C4" s="3" t="s">
        <v>24</v>
      </c>
      <c r="D4" s="3" t="s">
        <v>21</v>
      </c>
      <c r="E4" s="2" t="s">
        <v>22</v>
      </c>
      <c r="F4" s="12" t="s">
        <v>33</v>
      </c>
      <c r="G4" s="2">
        <v>8</v>
      </c>
      <c r="H4" s="3"/>
      <c r="I4" s="3"/>
      <c r="J4" s="2"/>
      <c r="K4" s="2"/>
      <c r="L4" s="10"/>
      <c r="M4" s="4"/>
    </row>
    <row r="5" spans="1:13" x14ac:dyDescent="0.3">
      <c r="A5" s="2" t="s">
        <v>91</v>
      </c>
      <c r="B5" s="2" t="s">
        <v>25</v>
      </c>
      <c r="C5" s="3" t="s">
        <v>26</v>
      </c>
      <c r="D5" s="3" t="s">
        <v>27</v>
      </c>
      <c r="E5" s="2" t="s">
        <v>28</v>
      </c>
      <c r="F5" s="12" t="s">
        <v>33</v>
      </c>
      <c r="G5" s="2">
        <v>3</v>
      </c>
      <c r="H5" s="3"/>
      <c r="I5" s="3"/>
      <c r="J5" s="2"/>
      <c r="K5" s="2"/>
      <c r="L5" s="11"/>
      <c r="M5" s="4"/>
    </row>
    <row r="6" spans="1:13" x14ac:dyDescent="0.3">
      <c r="A6" s="2" t="s">
        <v>91</v>
      </c>
      <c r="B6" s="2" t="s">
        <v>29</v>
      </c>
      <c r="C6" s="3" t="s">
        <v>30</v>
      </c>
      <c r="D6" s="3" t="s">
        <v>21</v>
      </c>
      <c r="E6" s="2" t="s">
        <v>22</v>
      </c>
      <c r="F6" s="12" t="s">
        <v>33</v>
      </c>
      <c r="G6" s="2">
        <v>3</v>
      </c>
      <c r="H6" s="3"/>
      <c r="I6" s="3"/>
      <c r="J6" s="2"/>
      <c r="K6" s="2"/>
      <c r="L6" s="11"/>
      <c r="M6" s="4"/>
    </row>
    <row r="7" spans="1:13" x14ac:dyDescent="0.3">
      <c r="A7" s="2" t="s">
        <v>91</v>
      </c>
      <c r="B7" s="12" t="s">
        <v>31</v>
      </c>
      <c r="C7" s="13" t="s">
        <v>32</v>
      </c>
      <c r="D7" s="13" t="s">
        <v>21</v>
      </c>
      <c r="E7" s="12" t="s">
        <v>22</v>
      </c>
      <c r="F7" s="12" t="s">
        <v>33</v>
      </c>
      <c r="G7" s="12">
        <v>2</v>
      </c>
      <c r="H7" s="13"/>
      <c r="I7" s="13"/>
      <c r="J7" s="12"/>
      <c r="K7" s="12"/>
      <c r="L7" s="12"/>
      <c r="M7" s="14"/>
    </row>
    <row r="8" spans="1:13" x14ac:dyDescent="0.3">
      <c r="A8" s="2" t="s">
        <v>91</v>
      </c>
      <c r="B8" s="12" t="s">
        <v>34</v>
      </c>
      <c r="C8" s="13" t="s">
        <v>35</v>
      </c>
      <c r="D8" s="13" t="s">
        <v>21</v>
      </c>
      <c r="E8" s="12" t="s">
        <v>22</v>
      </c>
      <c r="F8" s="12" t="s">
        <v>33</v>
      </c>
      <c r="G8" s="12">
        <v>1</v>
      </c>
      <c r="H8" s="13"/>
      <c r="I8" s="13"/>
      <c r="J8" s="12"/>
      <c r="K8" s="12"/>
      <c r="L8" s="12"/>
      <c r="M8" s="14"/>
    </row>
    <row r="9" spans="1:13" x14ac:dyDescent="0.3">
      <c r="A9" s="2" t="s">
        <v>91</v>
      </c>
      <c r="B9" s="15" t="s">
        <v>36</v>
      </c>
      <c r="C9" s="16" t="s">
        <v>37</v>
      </c>
      <c r="D9" s="16" t="s">
        <v>21</v>
      </c>
      <c r="E9" s="15" t="s">
        <v>22</v>
      </c>
      <c r="F9" s="12" t="s">
        <v>33</v>
      </c>
      <c r="G9" s="15">
        <v>2</v>
      </c>
      <c r="H9" s="16" t="s">
        <v>38</v>
      </c>
      <c r="I9" s="16" t="s">
        <v>39</v>
      </c>
      <c r="J9" s="15" t="s">
        <v>18</v>
      </c>
      <c r="K9" s="15"/>
      <c r="L9" s="10">
        <v>7.0900000000000005E-2</v>
      </c>
      <c r="M9" s="17">
        <f>G9*L9</f>
        <v>0.14180000000000001</v>
      </c>
    </row>
    <row r="10" spans="1:13" x14ac:dyDescent="0.3">
      <c r="A10" s="2" t="s">
        <v>91</v>
      </c>
      <c r="B10" s="15" t="s">
        <v>40</v>
      </c>
      <c r="C10" s="16" t="s">
        <v>41</v>
      </c>
      <c r="D10" s="16" t="s">
        <v>21</v>
      </c>
      <c r="E10" s="15" t="s">
        <v>22</v>
      </c>
      <c r="F10" s="12" t="s">
        <v>33</v>
      </c>
      <c r="G10" s="15">
        <v>1</v>
      </c>
      <c r="H10" s="16"/>
      <c r="I10" s="16"/>
      <c r="J10" s="15"/>
      <c r="K10" s="15"/>
      <c r="L10" s="10"/>
      <c r="M10" s="17"/>
    </row>
    <row r="11" spans="1:13" x14ac:dyDescent="0.3">
      <c r="A11" s="2" t="s">
        <v>91</v>
      </c>
      <c r="B11" s="12" t="s">
        <v>42</v>
      </c>
      <c r="C11" s="13" t="s">
        <v>43</v>
      </c>
      <c r="D11" s="13" t="s">
        <v>44</v>
      </c>
      <c r="E11" s="12" t="s">
        <v>22</v>
      </c>
      <c r="F11" s="12" t="s">
        <v>33</v>
      </c>
      <c r="G11" s="12">
        <v>1</v>
      </c>
      <c r="H11" s="13"/>
      <c r="I11" s="13"/>
      <c r="J11" s="12"/>
      <c r="K11" s="12"/>
      <c r="L11" s="12"/>
      <c r="M11" s="14"/>
    </row>
    <row r="12" spans="1:13" x14ac:dyDescent="0.3">
      <c r="A12" s="2" t="s">
        <v>91</v>
      </c>
      <c r="B12" s="2" t="s">
        <v>45</v>
      </c>
      <c r="C12" s="3" t="s">
        <v>46</v>
      </c>
      <c r="D12" s="3" t="s">
        <v>47</v>
      </c>
      <c r="E12" s="2" t="s">
        <v>22</v>
      </c>
      <c r="F12" s="12" t="s">
        <v>33</v>
      </c>
      <c r="G12" s="2">
        <v>1</v>
      </c>
      <c r="H12" s="3" t="s">
        <v>38</v>
      </c>
      <c r="I12" s="3" t="s">
        <v>48</v>
      </c>
      <c r="J12" s="2" t="s">
        <v>18</v>
      </c>
      <c r="K12" s="2"/>
      <c r="L12" s="10">
        <v>1.3899999999999999E-2</v>
      </c>
      <c r="M12" s="4">
        <f>G12*L12</f>
        <v>1.3899999999999999E-2</v>
      </c>
    </row>
    <row r="13" spans="1:13" x14ac:dyDescent="0.3">
      <c r="A13" s="2" t="s">
        <v>91</v>
      </c>
      <c r="B13" s="2" t="s">
        <v>49</v>
      </c>
      <c r="C13" s="3" t="s">
        <v>50</v>
      </c>
      <c r="D13" s="3" t="s">
        <v>51</v>
      </c>
      <c r="E13" s="2" t="s">
        <v>22</v>
      </c>
      <c r="F13" s="12" t="s">
        <v>33</v>
      </c>
      <c r="G13" s="2">
        <v>1</v>
      </c>
      <c r="H13" s="3" t="s">
        <v>38</v>
      </c>
      <c r="I13" s="3" t="s">
        <v>52</v>
      </c>
      <c r="J13" s="2" t="s">
        <v>18</v>
      </c>
      <c r="K13" s="2"/>
      <c r="L13" s="11">
        <v>1.02</v>
      </c>
      <c r="M13" s="4">
        <f>G13*L13</f>
        <v>1.02</v>
      </c>
    </row>
    <row r="14" spans="1:13" x14ac:dyDescent="0.3">
      <c r="A14" s="2" t="s">
        <v>91</v>
      </c>
      <c r="B14" s="2" t="s">
        <v>53</v>
      </c>
      <c r="C14" s="3" t="s">
        <v>24</v>
      </c>
      <c r="D14" s="3" t="s">
        <v>51</v>
      </c>
      <c r="E14" s="2" t="s">
        <v>22</v>
      </c>
      <c r="F14" s="12" t="s">
        <v>33</v>
      </c>
      <c r="G14" s="2">
        <v>1</v>
      </c>
      <c r="H14" s="3" t="s">
        <v>38</v>
      </c>
      <c r="I14" s="3" t="s">
        <v>54</v>
      </c>
      <c r="J14" s="2" t="s">
        <v>18</v>
      </c>
      <c r="K14" s="2"/>
      <c r="L14" s="11">
        <v>0.1221</v>
      </c>
      <c r="M14" s="4">
        <f>G14*L14</f>
        <v>0.1221</v>
      </c>
    </row>
    <row r="15" spans="1:13" ht="27.6" x14ac:dyDescent="0.3">
      <c r="A15" s="2" t="s">
        <v>91</v>
      </c>
      <c r="B15" s="2" t="s">
        <v>55</v>
      </c>
      <c r="C15" s="3" t="s">
        <v>56</v>
      </c>
      <c r="D15" s="3" t="s">
        <v>57</v>
      </c>
      <c r="E15" s="2" t="s">
        <v>58</v>
      </c>
      <c r="F15" s="2" t="s">
        <v>16</v>
      </c>
      <c r="G15" s="2">
        <v>1</v>
      </c>
      <c r="H15" s="3" t="s">
        <v>59</v>
      </c>
      <c r="I15" s="3" t="s">
        <v>60</v>
      </c>
      <c r="J15" s="2" t="s">
        <v>18</v>
      </c>
      <c r="K15" s="2" t="s">
        <v>89</v>
      </c>
      <c r="L15" s="10">
        <v>0.52</v>
      </c>
      <c r="M15" s="4">
        <f>G15*L15</f>
        <v>0.52</v>
      </c>
    </row>
    <row r="16" spans="1:13" x14ac:dyDescent="0.3">
      <c r="A16" s="23" t="s">
        <v>67</v>
      </c>
      <c r="B16" s="23" t="s">
        <v>94</v>
      </c>
      <c r="C16" s="3"/>
      <c r="D16" s="3"/>
      <c r="E16" s="2"/>
      <c r="F16" s="2"/>
      <c r="G16" s="2"/>
      <c r="H16" s="3"/>
      <c r="I16" s="3"/>
      <c r="J16" s="2"/>
      <c r="K16" s="2"/>
      <c r="L16" s="10"/>
      <c r="M16" s="4"/>
    </row>
    <row r="17" spans="1:13" x14ac:dyDescent="0.3">
      <c r="A17" s="23" t="s">
        <v>67</v>
      </c>
      <c r="B17" s="23" t="s">
        <v>93</v>
      </c>
      <c r="C17" s="3"/>
      <c r="D17" s="3"/>
      <c r="E17" s="2"/>
      <c r="F17" s="2"/>
      <c r="G17" s="2"/>
      <c r="H17" s="3"/>
      <c r="I17" s="3"/>
      <c r="J17" s="2"/>
      <c r="K17" s="2"/>
      <c r="L17" s="10"/>
      <c r="M17" s="4"/>
    </row>
    <row r="18" spans="1:13" x14ac:dyDescent="0.3">
      <c r="A18" s="2" t="s">
        <v>91</v>
      </c>
      <c r="B18" s="2" t="s">
        <v>96</v>
      </c>
      <c r="C18" s="3" t="s">
        <v>61</v>
      </c>
      <c r="D18" s="3" t="s">
        <v>62</v>
      </c>
      <c r="E18" s="2" t="s">
        <v>22</v>
      </c>
      <c r="F18" s="2" t="s">
        <v>16</v>
      </c>
      <c r="G18" s="2">
        <v>4</v>
      </c>
      <c r="H18" s="3" t="s">
        <v>23</v>
      </c>
      <c r="I18" s="3" t="s">
        <v>63</v>
      </c>
      <c r="J18" s="2" t="s">
        <v>18</v>
      </c>
      <c r="K18" s="2"/>
      <c r="L18" s="10">
        <v>7.7000000000000002E-3</v>
      </c>
      <c r="M18" s="4">
        <f>G18*L18</f>
        <v>3.0800000000000001E-2</v>
      </c>
    </row>
    <row r="19" spans="1:13" x14ac:dyDescent="0.3">
      <c r="A19" s="2" t="s">
        <v>91</v>
      </c>
      <c r="B19" s="12" t="s">
        <v>64</v>
      </c>
      <c r="C19" s="13" t="s">
        <v>65</v>
      </c>
      <c r="D19" s="13" t="s">
        <v>62</v>
      </c>
      <c r="E19" s="12" t="s">
        <v>22</v>
      </c>
      <c r="F19" s="12" t="s">
        <v>33</v>
      </c>
      <c r="G19" s="12">
        <v>1</v>
      </c>
      <c r="H19" s="13"/>
      <c r="I19" s="13"/>
      <c r="J19" s="12"/>
      <c r="K19" s="12"/>
      <c r="L19" s="12"/>
      <c r="M19" s="14"/>
    </row>
    <row r="20" spans="1:13" x14ac:dyDescent="0.3">
      <c r="A20" s="18" t="s">
        <v>67</v>
      </c>
      <c r="B20" s="6" t="s">
        <v>66</v>
      </c>
      <c r="C20" s="7" t="s">
        <v>67</v>
      </c>
      <c r="D20" s="7" t="s">
        <v>62</v>
      </c>
      <c r="E20" s="6" t="s">
        <v>22</v>
      </c>
      <c r="F20" s="6" t="s">
        <v>67</v>
      </c>
      <c r="G20" s="6">
        <v>1</v>
      </c>
      <c r="H20" s="7"/>
      <c r="I20" s="7"/>
      <c r="J20" s="6"/>
      <c r="K20" s="6"/>
      <c r="L20" s="6"/>
      <c r="M20" s="8"/>
    </row>
    <row r="21" spans="1:13" ht="41.4" x14ac:dyDescent="0.3">
      <c r="A21" s="2" t="s">
        <v>91</v>
      </c>
      <c r="B21" s="2" t="s">
        <v>68</v>
      </c>
      <c r="C21" s="3" t="s">
        <v>69</v>
      </c>
      <c r="D21" s="3" t="s">
        <v>70</v>
      </c>
      <c r="E21" s="2" t="s">
        <v>71</v>
      </c>
      <c r="F21" s="2" t="s">
        <v>16</v>
      </c>
      <c r="G21" s="2">
        <v>1</v>
      </c>
      <c r="H21" s="3" t="s">
        <v>72</v>
      </c>
      <c r="I21" s="3" t="s">
        <v>69</v>
      </c>
      <c r="J21" s="2" t="s">
        <v>18</v>
      </c>
      <c r="K21" s="2"/>
      <c r="L21" s="5">
        <v>7.3</v>
      </c>
      <c r="M21" s="4">
        <f>G21*L21</f>
        <v>7.3</v>
      </c>
    </row>
    <row r="22" spans="1:13" ht="27.6" x14ac:dyDescent="0.3">
      <c r="A22" s="2" t="s">
        <v>91</v>
      </c>
      <c r="B22" s="2" t="s">
        <v>73</v>
      </c>
      <c r="C22" s="3" t="s">
        <v>74</v>
      </c>
      <c r="D22" s="3" t="s">
        <v>75</v>
      </c>
      <c r="E22" s="2" t="s">
        <v>76</v>
      </c>
      <c r="F22" s="2" t="s">
        <v>16</v>
      </c>
      <c r="G22" s="2">
        <v>1</v>
      </c>
      <c r="H22" s="3" t="s">
        <v>77</v>
      </c>
      <c r="I22" s="3" t="s">
        <v>78</v>
      </c>
      <c r="J22" s="2" t="s">
        <v>18</v>
      </c>
      <c r="K22" s="2"/>
      <c r="L22" s="5">
        <v>11.44</v>
      </c>
      <c r="M22" s="4">
        <f>G22*L22</f>
        <v>11.44</v>
      </c>
    </row>
    <row r="23" spans="1:13" ht="27.6" x14ac:dyDescent="0.3">
      <c r="A23" s="2" t="s">
        <v>91</v>
      </c>
      <c r="B23" s="2" t="s">
        <v>79</v>
      </c>
      <c r="C23" s="3" t="s">
        <v>80</v>
      </c>
      <c r="D23" s="3" t="s">
        <v>81</v>
      </c>
      <c r="E23" s="2" t="s">
        <v>15</v>
      </c>
      <c r="F23" s="2" t="s">
        <v>16</v>
      </c>
      <c r="G23" s="2">
        <v>1</v>
      </c>
      <c r="H23" s="3" t="s">
        <v>82</v>
      </c>
      <c r="I23" s="3" t="s">
        <v>83</v>
      </c>
      <c r="J23" s="2" t="s">
        <v>18</v>
      </c>
      <c r="K23" s="2"/>
      <c r="L23" s="5">
        <v>0.27</v>
      </c>
      <c r="M23" s="4">
        <f>G23*L23</f>
        <v>0.27</v>
      </c>
    </row>
    <row r="24" spans="1:13" ht="15" thickBot="1" x14ac:dyDescent="0.35">
      <c r="A24" s="2" t="s">
        <v>91</v>
      </c>
      <c r="B24" s="2" t="s">
        <v>84</v>
      </c>
      <c r="C24" s="3" t="s">
        <v>85</v>
      </c>
      <c r="D24" s="3" t="s">
        <v>86</v>
      </c>
      <c r="E24" s="2" t="s">
        <v>15</v>
      </c>
      <c r="F24" s="2" t="s">
        <v>16</v>
      </c>
      <c r="G24" s="2">
        <v>1</v>
      </c>
      <c r="H24" s="3" t="s">
        <v>82</v>
      </c>
      <c r="I24" s="3" t="s">
        <v>87</v>
      </c>
      <c r="J24" s="2" t="s">
        <v>18</v>
      </c>
      <c r="K24" s="2"/>
      <c r="L24" s="5">
        <v>0.3</v>
      </c>
      <c r="M24" s="4">
        <f>G24*L24</f>
        <v>0.3</v>
      </c>
    </row>
    <row r="25" spans="1:13" ht="15" thickTop="1" x14ac:dyDescent="0.3">
      <c r="L25" s="22" t="s">
        <v>92</v>
      </c>
      <c r="M25" s="9">
        <f>SUM(M2:M24)</f>
        <v>21.538600000000002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Goran Staznik</cp:lastModifiedBy>
  <cp:revision>0</cp:revision>
  <dcterms:created xsi:type="dcterms:W3CDTF">2026-09-26T00:02:03Z</dcterms:created>
  <dcterms:modified xsi:type="dcterms:W3CDTF">2026-10-23T00:11:57Z</dcterms:modified>
  <dc:language>en-US</dc:language>
</cp:coreProperties>
</file>